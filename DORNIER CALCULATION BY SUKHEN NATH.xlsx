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JAN\Downloads\"/>
    </mc:Choice>
  </mc:AlternateContent>
  <bookViews>
    <workbookView xWindow="0" yWindow="0" windowWidth="19200" windowHeight="6930"/>
  </bookViews>
  <sheets>
    <sheet name="DORNIER_CALCULATION (8)" sheetId="1" r:id="rId1"/>
  </sheets>
  <calcPr calcId="162913"/>
  <extLst>
    <ext uri="GoogleSheetsCustomDataVersion2">
      <go:sheetsCustomData xmlns:go="http://customooxmlschemas.google.com/" r:id="rId6" roundtripDataChecksum="68c1kwRqvsAmBH+XgYsnkbavfWDNYze6le71GZm73o0="/>
    </ext>
  </extLst>
</workbook>
</file>

<file path=xl/calcChain.xml><?xml version="1.0" encoding="utf-8"?>
<calcChain xmlns="http://schemas.openxmlformats.org/spreadsheetml/2006/main">
  <c r="J14" i="1" l="1"/>
  <c r="G7" i="1"/>
  <c r="D10" i="1" s="1"/>
  <c r="D4" i="1"/>
  <c r="G10" i="1" l="1"/>
  <c r="E13" i="1" s="1"/>
  <c r="D7" i="1"/>
</calcChain>
</file>

<file path=xl/sharedStrings.xml><?xml version="1.0" encoding="utf-8"?>
<sst xmlns="http://schemas.openxmlformats.org/spreadsheetml/2006/main" count="21" uniqueCount="21">
  <si>
    <t>QUALITY</t>
  </si>
  <si>
    <t>AVG_RPM</t>
  </si>
  <si>
    <t>8HRS_100%</t>
  </si>
  <si>
    <t>LOOM DIFF</t>
  </si>
  <si>
    <t>OZS/YDS</t>
  </si>
  <si>
    <t>WIDTH</t>
  </si>
  <si>
    <t>SORTING PINION</t>
  </si>
  <si>
    <t>54.0"-9.30 OZS/40" - 11 X 11</t>
  </si>
  <si>
    <t xml:space="preserve">sorting pinion </t>
  </si>
  <si>
    <t>11*4*10</t>
  </si>
  <si>
    <t>EFF</t>
  </si>
  <si>
    <t>GSM</t>
  </si>
  <si>
    <t>now</t>
  </si>
  <si>
    <t>((11*4)-2)*10</t>
  </si>
  <si>
    <t>11x11,1st one is ports(Reeds),2nd one Sorts</t>
  </si>
  <si>
    <t>GM/METER</t>
  </si>
  <si>
    <t>METER</t>
  </si>
  <si>
    <t>KG/LOOM</t>
  </si>
  <si>
    <t>KG</t>
  </si>
  <si>
    <r>
      <rPr>
        <sz val="11"/>
        <color theme="1"/>
        <rFont val="Calibri"/>
      </rPr>
      <t>(PROD_METER*(</t>
    </r>
    <r>
      <rPr>
        <sz val="11"/>
        <color rgb="FFFF0000"/>
        <rFont val="Calibri"/>
      </rPr>
      <t>(GM PER METER)</t>
    </r>
    <r>
      <rPr>
        <sz val="11"/>
        <color theme="1"/>
        <rFont val="Calibri"/>
      </rPr>
      <t>/1000)))</t>
    </r>
  </si>
  <si>
    <t>OZS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</si>
</sst>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/>
    <xf numFmtId="0" fontId="1" fillId="0" borderId="7" xfId="0" applyFont="1" applyBorder="1"/>
    <xf numFmtId="2" fontId="1" fillId="0" borderId="8" xfId="0" applyNumberFormat="1" applyFont="1" applyBorder="1"/>
    <xf numFmtId="0" fontId="0" fillId="0" borderId="0" xfId="0" applyFont="1"/>
    <xf numFmtId="0" fontId="1" fillId="0" borderId="7" xfId="0" applyFont="1" applyBorder="1" applyAlignment="1">
      <alignment horizontal="center" vertical="center"/>
    </xf>
    <xf numFmtId="0" fontId="4" fillId="0" borderId="12" xfId="0" applyFont="1" applyBorder="1"/>
    <xf numFmtId="0" fontId="4" fillId="0" borderId="8" xfId="0" applyFont="1" applyBorder="1"/>
    <xf numFmtId="0" fontId="2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1:N1000"/>
  <sheetViews>
    <sheetView tabSelected="1" workbookViewId="0">
      <selection activeCell="J20" sqref="J20"/>
    </sheetView>
  </sheetViews>
  <sheetFormatPr defaultColWidth="14.453125" defaultRowHeight="15" customHeight="1"/>
  <cols>
    <col min="1" max="1" width="8.7265625" customWidth="1"/>
    <col min="2" max="2" width="30.26953125" customWidth="1"/>
    <col min="3" max="3" width="10.7265625" customWidth="1"/>
    <col min="4" max="4" width="11" customWidth="1"/>
    <col min="5" max="5" width="10.7265625" customWidth="1"/>
    <col min="6" max="7" width="8.7265625" customWidth="1"/>
    <col min="8" max="8" width="16" customWidth="1"/>
    <col min="9" max="26" width="8.7265625" customWidth="1"/>
  </cols>
  <sheetData>
    <row r="1" spans="2:14" ht="14.25" customHeight="1"/>
    <row r="2" spans="2:14" ht="14.25" customHeight="1"/>
    <row r="3" spans="2:14" ht="14.2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20</v>
      </c>
      <c r="G3" s="1" t="s">
        <v>5</v>
      </c>
      <c r="H3" s="1" t="s">
        <v>6</v>
      </c>
    </row>
    <row r="4" spans="2:14" ht="14.25" customHeight="1">
      <c r="B4" s="2" t="s">
        <v>7</v>
      </c>
      <c r="C4" s="1">
        <v>190</v>
      </c>
      <c r="D4" s="1">
        <f>8*60*C4</f>
        <v>91200</v>
      </c>
      <c r="E4" s="1">
        <v>57</v>
      </c>
      <c r="F4" s="1">
        <v>9.3000000000000007</v>
      </c>
      <c r="G4" s="1">
        <v>54</v>
      </c>
      <c r="H4" s="1">
        <v>420</v>
      </c>
      <c r="J4" s="3"/>
      <c r="K4" s="4">
        <v>440</v>
      </c>
      <c r="L4" s="4"/>
      <c r="M4" s="4"/>
      <c r="N4" s="5"/>
    </row>
    <row r="5" spans="2:14" ht="14.25" customHeight="1">
      <c r="J5" s="6"/>
      <c r="N5" s="7"/>
    </row>
    <row r="6" spans="2:14" ht="14.25" customHeight="1">
      <c r="J6" s="6"/>
      <c r="K6" s="8" t="s">
        <v>8</v>
      </c>
      <c r="M6" s="8" t="s">
        <v>9</v>
      </c>
      <c r="N6" s="7"/>
    </row>
    <row r="7" spans="2:14" ht="14.25" customHeight="1">
      <c r="C7" s="9" t="s">
        <v>10</v>
      </c>
      <c r="D7" s="10">
        <f>((E4*1000)/D4)*100</f>
        <v>62.5</v>
      </c>
      <c r="F7" s="9" t="s">
        <v>11</v>
      </c>
      <c r="G7" s="10">
        <f>F4*30.51</f>
        <v>283.74300000000005</v>
      </c>
      <c r="J7" s="6"/>
      <c r="N7" s="7"/>
    </row>
    <row r="8" spans="2:14" ht="14.25" customHeight="1">
      <c r="J8" s="6"/>
      <c r="K8" s="8" t="s">
        <v>12</v>
      </c>
      <c r="M8" s="11" t="s">
        <v>13</v>
      </c>
      <c r="N8" s="7"/>
    </row>
    <row r="9" spans="2:14" ht="14.25" customHeight="1">
      <c r="J9" s="15" t="s">
        <v>14</v>
      </c>
      <c r="K9" s="16"/>
      <c r="L9" s="16"/>
      <c r="M9" s="16"/>
      <c r="N9" s="17"/>
    </row>
    <row r="10" spans="2:14" ht="14.25" customHeight="1">
      <c r="C10" s="9" t="s">
        <v>15</v>
      </c>
      <c r="D10" s="10">
        <f>(G7*G4)/39.37</f>
        <v>389.18267716535445</v>
      </c>
      <c r="F10" s="9" t="s">
        <v>16</v>
      </c>
      <c r="G10" s="10">
        <f>(D4*(D7/100))/H4</f>
        <v>135.71428571428572</v>
      </c>
    </row>
    <row r="11" spans="2:14" ht="14.25" customHeight="1"/>
    <row r="12" spans="2:14" ht="14.25" customHeight="1"/>
    <row r="13" spans="2:14" ht="14.25" customHeight="1">
      <c r="D13" s="9" t="s">
        <v>17</v>
      </c>
      <c r="E13" s="10">
        <f>(G10*(D10/1000))</f>
        <v>52.81764904386953</v>
      </c>
    </row>
    <row r="14" spans="2:14" ht="14.25" customHeight="1">
      <c r="I14" s="9" t="s">
        <v>4</v>
      </c>
      <c r="J14" s="10">
        <f>(F4/40)*G4</f>
        <v>12.555000000000001</v>
      </c>
    </row>
    <row r="15" spans="2:14" ht="14.25" customHeight="1"/>
    <row r="16" spans="2:14" ht="14.25" customHeight="1"/>
    <row r="17" spans="4:6" ht="14.25" customHeight="1">
      <c r="D17" s="12"/>
      <c r="E17" s="13"/>
      <c r="F17" s="14"/>
    </row>
    <row r="18" spans="4:6" ht="14.25" customHeight="1"/>
    <row r="19" spans="4:6" ht="14.25" customHeight="1"/>
    <row r="20" spans="4:6" ht="14.25" customHeight="1">
      <c r="D20" s="8" t="s">
        <v>18</v>
      </c>
      <c r="E20" s="8" t="s">
        <v>19</v>
      </c>
    </row>
    <row r="21" spans="4:6" ht="14.25" customHeight="1"/>
    <row r="22" spans="4:6" ht="14.25" customHeight="1"/>
    <row r="23" spans="4:6" ht="14.25" customHeight="1"/>
    <row r="24" spans="4:6" ht="14.25" customHeight="1"/>
    <row r="25" spans="4:6" ht="14.25" customHeight="1"/>
    <row r="26" spans="4:6" ht="14.25" customHeight="1"/>
    <row r="27" spans="4:6" ht="14.25" customHeight="1"/>
    <row r="28" spans="4:6" ht="14.25" customHeight="1"/>
    <row r="29" spans="4:6" ht="14.25" customHeight="1"/>
    <row r="30" spans="4:6" ht="14.25" customHeight="1"/>
    <row r="31" spans="4:6" ht="14.25" customHeight="1"/>
    <row r="32" spans="4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17:F17"/>
    <mergeCell ref="J9:N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DORNIER_CALCULATION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SUJAN</cp:lastModifiedBy>
  <dcterms:created xsi:type="dcterms:W3CDTF">2025-06-26T12:17:01Z</dcterms:created>
  <dcterms:modified xsi:type="dcterms:W3CDTF">2026-10-05T08:22:26Z</dcterms:modified>
</cp:coreProperties>
</file>